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ma\Documents\Data Analytics Journey\"/>
    </mc:Choice>
  </mc:AlternateContent>
  <xr:revisionPtr revIDLastSave="0" documentId="8_{1931F8A2-740D-40C8-9DD2-932537545A11}" xr6:coauthVersionLast="47" xr6:coauthVersionMax="47" xr10:uidLastSave="{00000000-0000-0000-0000-000000000000}"/>
  <bookViews>
    <workbookView xWindow="-110" yWindow="-110" windowWidth="19420" windowHeight="10300" xr2:uid="{CA511A61-F1B0-4A28-93DE-5B71AA771B5D}"/>
  </bookViews>
  <sheets>
    <sheet name="Sheet1" sheetId="1" r:id="rId1"/>
  </sheets>
  <definedNames>
    <definedName name="_xlnm._FilterDatabase" localSheetId="0" hidden="1">Sheet1!$G$6:$N$11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I16" i="1"/>
  <c r="M14" i="1"/>
  <c r="I14" i="1"/>
  <c r="I15" i="1"/>
  <c r="N11" i="1"/>
  <c r="N10" i="1"/>
  <c r="N9" i="1"/>
  <c r="N8" i="1"/>
  <c r="N7" i="1"/>
  <c r="M16" i="1" s="1"/>
  <c r="D8" i="1"/>
  <c r="D9" i="1"/>
  <c r="D10" i="1"/>
  <c r="D11" i="1"/>
  <c r="D7" i="1"/>
  <c r="C19" i="1"/>
  <c r="C18" i="1"/>
  <c r="C17" i="1"/>
  <c r="C16" i="1"/>
</calcChain>
</file>

<file path=xl/sharedStrings.xml><?xml version="1.0" encoding="utf-8"?>
<sst xmlns="http://schemas.openxmlformats.org/spreadsheetml/2006/main" count="57" uniqueCount="51">
  <si>
    <t>Name</t>
  </si>
  <si>
    <t>Marks</t>
  </si>
  <si>
    <t>City</t>
  </si>
  <si>
    <t>Asha</t>
  </si>
  <si>
    <t>Delhi</t>
  </si>
  <si>
    <t>Ravi</t>
  </si>
  <si>
    <t>Mumbai</t>
  </si>
  <si>
    <t>Neha</t>
  </si>
  <si>
    <t>Hyderabad</t>
  </si>
  <si>
    <t>Arjun</t>
  </si>
  <si>
    <t>Chennai</t>
  </si>
  <si>
    <t>Pooja</t>
  </si>
  <si>
    <t>Sum</t>
  </si>
  <si>
    <t>Average</t>
  </si>
  <si>
    <t>Max</t>
  </si>
  <si>
    <t>Min</t>
  </si>
  <si>
    <t>Result</t>
  </si>
  <si>
    <t>Data Analytics Journey</t>
  </si>
  <si>
    <t>Excel Practical</t>
  </si>
  <si>
    <t>Derived Data</t>
  </si>
  <si>
    <t>Basic Calculations</t>
  </si>
  <si>
    <t>DAY 1</t>
  </si>
  <si>
    <t>!</t>
  </si>
  <si>
    <t>DAY 2</t>
  </si>
  <si>
    <t>Order ID</t>
  </si>
  <si>
    <t>Product</t>
  </si>
  <si>
    <t>Category</t>
  </si>
  <si>
    <t>Price</t>
  </si>
  <si>
    <t>Quantity</t>
  </si>
  <si>
    <t>Region</t>
  </si>
  <si>
    <t>Date</t>
  </si>
  <si>
    <t>Total Sales</t>
  </si>
  <si>
    <t>Pen</t>
  </si>
  <si>
    <t>Stationery</t>
  </si>
  <si>
    <t>West</t>
  </si>
  <si>
    <t>Book</t>
  </si>
  <si>
    <t>South</t>
  </si>
  <si>
    <t>Bottle</t>
  </si>
  <si>
    <t>Utility</t>
  </si>
  <si>
    <t>North</t>
  </si>
  <si>
    <t>Bag</t>
  </si>
  <si>
    <t>East</t>
  </si>
  <si>
    <t>sales from stationery</t>
  </si>
  <si>
    <t>stationery</t>
  </si>
  <si>
    <t xml:space="preserve">West </t>
  </si>
  <si>
    <t>Sales from Utility</t>
  </si>
  <si>
    <t>Price X Quantity</t>
  </si>
  <si>
    <t>Order Quantity &gt;2</t>
  </si>
  <si>
    <t>Sales from West Region</t>
  </si>
  <si>
    <t>added Filter</t>
  </si>
  <si>
    <t>Day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</si>
</sst>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8BADE"/>
        <bgColor indexed="64"/>
      </patternFill>
    </fill>
    <fill>
      <patternFill patternType="solid">
        <fgColor rgb="FFA7F89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14" fontId="0" fillId="6" borderId="0" xfId="0" applyNumberForma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F89C"/>
      <color rgb="FFE8BA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81F2-B27C-4D09-A109-B713FBD716F9}">
  <dimension ref="A1:Q19"/>
  <sheetViews>
    <sheetView tabSelected="1" workbookViewId="0">
      <selection activeCell="P4" sqref="P4"/>
    </sheetView>
  </sheetViews>
  <sheetFormatPr defaultRowHeight="14.5" x14ac:dyDescent="0.35"/>
  <cols>
    <col min="13" max="13" width="10.08984375" bestFit="1" customWidth="1"/>
    <col min="16" max="16" width="10.08984375" bestFit="1" customWidth="1"/>
  </cols>
  <sheetData>
    <row r="1" spans="1:17" ht="13" customHeight="1" x14ac:dyDescent="0.35">
      <c r="A1" s="7" t="s">
        <v>17</v>
      </c>
      <c r="B1" s="7"/>
      <c r="C1" s="7"/>
      <c r="D1" s="7"/>
      <c r="E1" s="7"/>
      <c r="F1" s="7"/>
      <c r="G1" s="7"/>
    </row>
    <row r="2" spans="1:17" ht="13" customHeight="1" x14ac:dyDescent="0.35">
      <c r="C2" s="8" t="s">
        <v>18</v>
      </c>
      <c r="D2" s="8"/>
      <c r="E2" s="8"/>
      <c r="F2" s="8"/>
      <c r="G2" s="2"/>
      <c r="H2" s="2"/>
    </row>
    <row r="3" spans="1:17" ht="13" customHeight="1" x14ac:dyDescent="0.35">
      <c r="C3" s="15"/>
      <c r="D3" s="15"/>
      <c r="E3" s="15"/>
      <c r="F3" s="15"/>
      <c r="G3" s="2"/>
      <c r="H3" s="2"/>
    </row>
    <row r="4" spans="1:17" ht="13" customHeight="1" x14ac:dyDescent="0.35">
      <c r="A4" t="s">
        <v>21</v>
      </c>
      <c r="H4" t="s">
        <v>23</v>
      </c>
      <c r="Q4" t="s">
        <v>50</v>
      </c>
    </row>
    <row r="5" spans="1:17" ht="13" customHeight="1" x14ac:dyDescent="0.35">
      <c r="E5" s="2"/>
      <c r="F5" s="2"/>
      <c r="N5" t="s">
        <v>46</v>
      </c>
    </row>
    <row r="6" spans="1:17" ht="13" customHeight="1" x14ac:dyDescent="0.35">
      <c r="A6" s="5" t="s">
        <v>0</v>
      </c>
      <c r="B6" s="5" t="s">
        <v>1</v>
      </c>
      <c r="C6" s="5" t="s">
        <v>2</v>
      </c>
      <c r="D6" s="3" t="s">
        <v>16</v>
      </c>
      <c r="G6" s="10" t="s">
        <v>24</v>
      </c>
      <c r="H6" s="10" t="s">
        <v>25</v>
      </c>
      <c r="I6" s="10" t="s">
        <v>26</v>
      </c>
      <c r="J6" s="10" t="s">
        <v>27</v>
      </c>
      <c r="K6" s="10" t="s">
        <v>28</v>
      </c>
      <c r="L6" s="10" t="s">
        <v>29</v>
      </c>
      <c r="M6" s="10" t="s">
        <v>30</v>
      </c>
      <c r="N6" s="3" t="s">
        <v>31</v>
      </c>
    </row>
    <row r="7" spans="1:17" ht="13" customHeight="1" x14ac:dyDescent="0.35">
      <c r="A7" s="6" t="s">
        <v>3</v>
      </c>
      <c r="B7" s="6">
        <v>78</v>
      </c>
      <c r="C7" s="6" t="s">
        <v>4</v>
      </c>
      <c r="D7" s="2" t="str">
        <f>IF(B7&gt;50,"PASS","FAIL")</f>
        <v>PASS</v>
      </c>
      <c r="G7" s="11">
        <v>1001</v>
      </c>
      <c r="H7" s="11" t="s">
        <v>32</v>
      </c>
      <c r="I7" s="11" t="s">
        <v>33</v>
      </c>
      <c r="J7" s="11">
        <v>10</v>
      </c>
      <c r="K7" s="11">
        <v>5</v>
      </c>
      <c r="L7" s="11" t="s">
        <v>34</v>
      </c>
      <c r="M7" s="12">
        <v>46023</v>
      </c>
      <c r="N7">
        <f>J7*K7</f>
        <v>50</v>
      </c>
    </row>
    <row r="8" spans="1:17" ht="13" customHeight="1" x14ac:dyDescent="0.35">
      <c r="A8" s="6" t="s">
        <v>5</v>
      </c>
      <c r="B8" s="6">
        <v>45</v>
      </c>
      <c r="C8" s="6" t="s">
        <v>6</v>
      </c>
      <c r="D8" s="2" t="str">
        <f t="shared" ref="D8:D11" si="0">IF(B8&gt;50,"PASS","FAIL")</f>
        <v>FAIL</v>
      </c>
      <c r="G8" s="11">
        <v>1002</v>
      </c>
      <c r="H8" s="11" t="s">
        <v>35</v>
      </c>
      <c r="I8" s="11" t="s">
        <v>33</v>
      </c>
      <c r="J8" s="11">
        <v>50</v>
      </c>
      <c r="K8" s="11">
        <v>2</v>
      </c>
      <c r="L8" s="11" t="s">
        <v>36</v>
      </c>
      <c r="M8" s="12">
        <v>46025</v>
      </c>
      <c r="N8">
        <f>J8*K8</f>
        <v>100</v>
      </c>
    </row>
    <row r="9" spans="1:17" ht="13" customHeight="1" x14ac:dyDescent="0.35">
      <c r="A9" s="6" t="s">
        <v>7</v>
      </c>
      <c r="B9" s="6">
        <v>90</v>
      </c>
      <c r="C9" s="6" t="s">
        <v>8</v>
      </c>
      <c r="D9" s="2" t="str">
        <f t="shared" si="0"/>
        <v>PASS</v>
      </c>
      <c r="G9" s="11">
        <v>1003</v>
      </c>
      <c r="H9" s="11" t="s">
        <v>37</v>
      </c>
      <c r="I9" s="11" t="s">
        <v>38</v>
      </c>
      <c r="J9" s="11">
        <v>200</v>
      </c>
      <c r="K9" s="11">
        <v>1</v>
      </c>
      <c r="L9" s="11" t="s">
        <v>39</v>
      </c>
      <c r="M9" s="12">
        <v>46027</v>
      </c>
      <c r="N9">
        <f>J9*K9</f>
        <v>200</v>
      </c>
    </row>
    <row r="10" spans="1:17" ht="13" customHeight="1" x14ac:dyDescent="0.35">
      <c r="A10" s="6" t="s">
        <v>9</v>
      </c>
      <c r="B10" s="6">
        <v>66</v>
      </c>
      <c r="C10" s="6" t="s">
        <v>10</v>
      </c>
      <c r="D10" s="2" t="str">
        <f t="shared" si="0"/>
        <v>PASS</v>
      </c>
      <c r="G10" s="11">
        <v>1004</v>
      </c>
      <c r="H10" s="11" t="s">
        <v>32</v>
      </c>
      <c r="I10" s="11" t="s">
        <v>33</v>
      </c>
      <c r="J10" s="11">
        <v>10</v>
      </c>
      <c r="K10" s="11">
        <v>10</v>
      </c>
      <c r="L10" s="11" t="s">
        <v>34</v>
      </c>
      <c r="M10" s="12">
        <v>46029</v>
      </c>
      <c r="N10">
        <f>J10*K10</f>
        <v>100</v>
      </c>
    </row>
    <row r="11" spans="1:17" ht="13" customHeight="1" x14ac:dyDescent="0.35">
      <c r="A11" s="6" t="s">
        <v>11</v>
      </c>
      <c r="B11" s="6">
        <v>52</v>
      </c>
      <c r="C11" s="6" t="s">
        <v>4</v>
      </c>
      <c r="D11" s="2" t="str">
        <f t="shared" si="0"/>
        <v>PASS</v>
      </c>
      <c r="G11" s="11">
        <v>1005</v>
      </c>
      <c r="H11" s="11" t="s">
        <v>40</v>
      </c>
      <c r="I11" s="11" t="s">
        <v>38</v>
      </c>
      <c r="J11" s="11">
        <v>500</v>
      </c>
      <c r="K11" s="11">
        <v>1</v>
      </c>
      <c r="L11" s="11" t="s">
        <v>41</v>
      </c>
      <c r="M11" s="12">
        <v>46032</v>
      </c>
      <c r="N11">
        <f>J11*K11</f>
        <v>500</v>
      </c>
    </row>
    <row r="12" spans="1:17" ht="13" customHeight="1" x14ac:dyDescent="0.35">
      <c r="D12" t="s">
        <v>22</v>
      </c>
    </row>
    <row r="13" spans="1:17" x14ac:dyDescent="0.35">
      <c r="D13" s="9" t="s">
        <v>19</v>
      </c>
      <c r="E13" s="9"/>
    </row>
    <row r="14" spans="1:17" ht="13.5" customHeight="1" x14ac:dyDescent="0.35">
      <c r="H14" t="s">
        <v>44</v>
      </c>
      <c r="I14">
        <f>COUNTIF(L7:L11,"West")</f>
        <v>2</v>
      </c>
      <c r="J14" s="14" t="s">
        <v>42</v>
      </c>
      <c r="K14" s="14"/>
      <c r="L14" s="14"/>
      <c r="M14">
        <f>SUMIF(I7:I11,"Stationery",N7:N11)</f>
        <v>250</v>
      </c>
    </row>
    <row r="15" spans="1:17" ht="12.5" customHeight="1" x14ac:dyDescent="0.35">
      <c r="B15" s="13" t="s">
        <v>20</v>
      </c>
      <c r="C15" s="13"/>
      <c r="H15" t="s">
        <v>43</v>
      </c>
      <c r="I15">
        <f>COUNTIF(I7:I11,"Stationery")</f>
        <v>3</v>
      </c>
      <c r="J15" s="14" t="s">
        <v>45</v>
      </c>
      <c r="K15" s="14"/>
      <c r="L15" s="14"/>
      <c r="M15">
        <f>SUMIF(I7:I11,"Utility",N7:N11)</f>
        <v>700</v>
      </c>
    </row>
    <row r="16" spans="1:17" x14ac:dyDescent="0.35">
      <c r="B16" s="4" t="s">
        <v>12</v>
      </c>
      <c r="C16">
        <f>SUM(B7:B11)</f>
        <v>331</v>
      </c>
      <c r="G16" s="1" t="s">
        <v>47</v>
      </c>
      <c r="H16" s="1"/>
      <c r="I16">
        <f>COUNTIF(K7:K11, "&gt;2")</f>
        <v>2</v>
      </c>
      <c r="J16" s="14" t="s">
        <v>48</v>
      </c>
      <c r="K16" s="14"/>
      <c r="L16" s="14"/>
      <c r="M16">
        <f>SUMIF(L7:L11,"West",N7:N11)</f>
        <v>150</v>
      </c>
    </row>
    <row r="17" spans="2:7" x14ac:dyDescent="0.35">
      <c r="B17" s="4" t="s">
        <v>13</v>
      </c>
      <c r="C17">
        <f>AVERAGE(B7:B11)</f>
        <v>66.2</v>
      </c>
    </row>
    <row r="18" spans="2:7" x14ac:dyDescent="0.35">
      <c r="B18" s="4" t="s">
        <v>14</v>
      </c>
      <c r="C18">
        <f>MAX(B7:B11)</f>
        <v>90</v>
      </c>
      <c r="G18" t="s">
        <v>49</v>
      </c>
    </row>
    <row r="19" spans="2:7" x14ac:dyDescent="0.35">
      <c r="B19" s="4" t="s">
        <v>15</v>
      </c>
      <c r="C19">
        <f>MIN(B7:B11)</f>
        <v>45</v>
      </c>
    </row>
  </sheetData>
  <autoFilter ref="G6:N11" xr:uid="{4DCC81F2-B27C-4D09-A109-B713FBD716F9}"/>
  <mergeCells count="8">
    <mergeCell ref="D13:E13"/>
    <mergeCell ref="B15:C15"/>
    <mergeCell ref="G16:H16"/>
    <mergeCell ref="J14:L14"/>
    <mergeCell ref="J15:L15"/>
    <mergeCell ref="J16:L16"/>
    <mergeCell ref="A1:G1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kakumanu</dc:creator>
  <cp:lastModifiedBy>mahima kakumanu</cp:lastModifiedBy>
  <dcterms:created xsi:type="dcterms:W3CDTF">2026-02-05T18:21:44Z</dcterms:created>
  <dcterms:modified xsi:type="dcterms:W3CDTF">2026-02-05T19:56:57Z</dcterms:modified>
</cp:coreProperties>
</file>